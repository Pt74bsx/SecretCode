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E:\ETML_Pratique\1_annee\1_trimestre\Projet_ETML\Code\Secret_code_2025\"/>
    </mc:Choice>
  </mc:AlternateContent>
  <xr:revisionPtr revIDLastSave="0" documentId="13_ncr:1_{1B8833C3-D4FB-4C50-8FCB-AEA0604F4A0E}" xr6:coauthVersionLast="47" xr6:coauthVersionMax="47" xr10:uidLastSave="{00000000-0000-0000-0000-000000000000}"/>
  <bookViews>
    <workbookView xWindow="2868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91028"/>
  <customWorkbookViews>
    <customWorkbookView name="Gilbert Gruaz - Affichage personnalisé" guid="{4120A410-7ADA-42AD-8010-013327A2ECF1}" mergeInterval="0" personalView="1" maximized="1" windowWidth="1916" windowHeight="821"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155" l="1"/>
  <c r="D20" i="155" s="1"/>
  <c r="D39" i="155" s="1"/>
  <c r="D58" i="155" s="1"/>
  <c r="D77" i="155" s="1"/>
  <c r="D96" i="155" s="1"/>
  <c r="D115" i="155" s="1"/>
  <c r="D134" i="155" s="1"/>
  <c r="B151" i="155"/>
  <c r="B132" i="155"/>
  <c r="B113" i="155"/>
  <c r="B94" i="155"/>
  <c r="B75" i="155"/>
  <c r="B56" i="155"/>
  <c r="B37" i="155"/>
  <c r="B18" i="155"/>
  <c r="B18" i="154"/>
  <c r="B13" i="11" l="1"/>
</calcChain>
</file>

<file path=xl/sharedStrings.xml><?xml version="1.0" encoding="utf-8"?>
<sst xmlns="http://schemas.openxmlformats.org/spreadsheetml/2006/main" count="186" uniqueCount="72">
  <si>
    <t>Module :</t>
  </si>
  <si>
    <t>Prénom - nom :</t>
  </si>
  <si>
    <t>Classe :</t>
  </si>
  <si>
    <t>Lieu :</t>
  </si>
  <si>
    <t>Date Début :</t>
  </si>
  <si>
    <t>Date Fin:</t>
  </si>
  <si>
    <t>Nombre de semaines:</t>
  </si>
  <si>
    <t>Nombre de Périodes/Semaine :</t>
  </si>
  <si>
    <t>Nombre de 1/4 heure/Période:</t>
  </si>
  <si>
    <t xml:space="preserve"> </t>
  </si>
  <si>
    <t>Liste des tâches</t>
  </si>
  <si>
    <t>Tâche obligatoire:</t>
  </si>
  <si>
    <t>Absence - Imprévus</t>
  </si>
  <si>
    <t>Tâches - objectifs</t>
  </si>
  <si>
    <t>Nb 1/4 heure</t>
  </si>
  <si>
    <t>Total planifié</t>
  </si>
  <si>
    <t>Total réalisé</t>
  </si>
  <si>
    <t>Semaine</t>
  </si>
  <si>
    <t>Tâche</t>
  </si>
  <si>
    <t>Durée
[1/4 h.]</t>
  </si>
  <si>
    <r>
      <t>Explications:</t>
    </r>
    <r>
      <rPr>
        <b/>
        <sz val="10"/>
        <rFont val="Century Gothic"/>
        <family val="2"/>
        <scheme val="minor"/>
      </rPr>
      <t xml:space="preserve"> qu'est-ce qui se fait et comment ?</t>
    </r>
  </si>
  <si>
    <t>Liens, références, …</t>
  </si>
  <si>
    <t>Total semaine</t>
  </si>
  <si>
    <t>Début:</t>
  </si>
  <si>
    <t>Romain Augusto</t>
  </si>
  <si>
    <t>CIN1C</t>
  </si>
  <si>
    <t>ETML VENNES</t>
  </si>
  <si>
    <t>Code</t>
  </si>
  <si>
    <t>Recherches</t>
  </si>
  <si>
    <t>Max. 12</t>
  </si>
  <si>
    <t>STOP</t>
  </si>
  <si>
    <t xml:space="preserve">Code </t>
  </si>
  <si>
    <t>Avis exterieur</t>
  </si>
  <si>
    <t xml:space="preserve">Avis exterieur </t>
  </si>
  <si>
    <t xml:space="preserve">Journal de travail </t>
  </si>
  <si>
    <t xml:space="preserve">Optimisation </t>
  </si>
  <si>
    <t>J'ai d'abord analysé mon code, puis j'ai cherché des idées pour optimiser mon code. J'ai directement pensé à utiliser des constantes et des méthodes. J'ai aussi regardé dans mon code ce qui se répétait le plus pour en faire une méthode. Et j'ai fait ça tout le long jusqu'à obtenir une version correcte et propre. J'ai aussi rajouté et enlevé des commentaires afin que mon code soit lisible et agréable à regarder.</t>
  </si>
  <si>
    <t>Journal de travail</t>
  </si>
  <si>
    <t>Test</t>
  </si>
  <si>
    <t xml:space="preserve">Avis extérieur </t>
  </si>
  <si>
    <t>J'ai réservé du temps pour refaire en entier mon journal de travail, car il n'était pas complet, il était trop vide, donc je l'ai refait pour pouvoir comprendre mon avancement sur le projet et ce que je fais clairement.</t>
  </si>
  <si>
    <t>J'ai pris 15 minutes pour tester mon programme, j'ai essayé de trouver des erreurs, des bugs, etc. J'ai vraiment tout testé, j'ai aussi vérifié mes messages d'erreur, etc. Je n'ai pas trouvé de bugs, mais j'ai trouvé quelques phrases à corriger au niveau de l'orthographe et du style.</t>
  </si>
  <si>
    <t>J'ai noté tout ce que j'ai pu faire dans la journée sur le projet. J'ai pas grand-chose à noter, j'avance tranquillement dans l'optimisation.</t>
  </si>
  <si>
    <t>J'ai rajouté énormément de commentaires dans le code, j'ai aussi rajouté les en-têtes (titre, auteur, date, description).</t>
  </si>
  <si>
    <t>J'ai commencé à optimiser le code, j'ai pu rajouter beaucoup de constantes, j'ai aussi pu rajouter une méthode pour recommencer le programme au lieu de remettre le même code à chaque fois.</t>
  </si>
  <si>
    <t>J'ai commencé par débuguer le niveau 4, qui était rempli de problèmes, je l'ai totalement recommencé, je l'ai effacé et refait, corrigé 2-3 trucs et c'était tout bon.</t>
  </si>
  <si>
    <t>J'ai créé un mode admin avec un système de code à entrer pour afficher le code secret, ce qui va m'aider par la suite à tester correctement mon programme.</t>
  </si>
  <si>
    <t>J'ai commencé à nettoyer le code et principalement refaire tous les commentaires, ne pas mettre des commentaires inutiles, enlever les fautes d'orthographe dedans, et j'ai aussi commencé à structurer mon code par blocs. Je n'ai pas fini mais j'ai bien avancé.</t>
  </si>
  <si>
    <t>J'ai pris 15 minutes pour noter tout ce que j'ai fait dans mon journal de travail, pour pas que j'oublie où j'en étais.</t>
  </si>
  <si>
    <t>J'ai commencé par prendre 15 minutes pour demander à mes camarades de tester mon programme, ce qui m'a permis de voir si j'avais pu laisser des fautes, des bugs, etc. Ce qui m'a permis d'avoir un avis extérieur et de corriger des petites choses.</t>
  </si>
  <si>
    <t>Ensuite, j'ai codé tout le niveau 3, où j'ai pas mal galéré mais je n'ai pas lâché et j'ai fini par réussir. Puis j'ai commencé à faire le niveau 4, mais malheureusement je me suis vite rendu compte que je l'avais mal fait car j'ai été trop vite, donc par manque de temps je l'ai mis en commentaire pour me dire que je devais le refaire.</t>
  </si>
  <si>
    <t>J'ai pris le temps qui me restait pour noter tout ce que j'ai fait pour que la prochaine fois je sache quoi faire.</t>
  </si>
  <si>
    <t>J'ai codé les cubes de couleurs, mais rien marchait, j'ai réfléchi, puis j'ai décidé d'effacer tout le système que je venais de faire pour me remettre en question et trouver une autre solution.</t>
  </si>
  <si>
    <t>Après réflexion, j'ai choisi de reprendre mon tout premier code pour l'améliorer et j'ai choisi d'utiliser une méthode et après un petit moment j'ai fini par réussir le système de cubes de couleurs.</t>
  </si>
  <si>
    <t xml:space="preserve">Recherche </t>
  </si>
  <si>
    <t>J'ai effectué des recherches sur différentes documentations afin de mieux connaître les boucles et les listes.</t>
  </si>
  <si>
    <t>Après avoir fini les cubes de couleurs, j'ai terminé le niveau 1 en ajoutant des messages d'erreur, etc., pour compléter le niveau 1.</t>
  </si>
  <si>
    <t>J'ai ajouté des commentaires partout pour le niveau 1 et mieux structurer le code.</t>
  </si>
  <si>
    <t>Dans mon journal de travail, j'ai noté tout ce que j'ai fait dans mon code aujourd'hui.</t>
  </si>
  <si>
    <t>J'ai commencé à faire la 2ème partie du programme, la sélection du niveau. J'ai fait les différents niveaux avec l'utilisation du switch. J'ai aussi ajouté les erreurs si la réponse de l'utilisateur n'est pas correcte.</t>
  </si>
  <si>
    <t>J'ai amélioré toute la partie visuelle de mon programme.</t>
  </si>
  <si>
    <t>J'ai regardé des documentations, fait des recherches sur internet pour apprendre à faire des méthodes que je pourrais utiliser plus tard pour mon programme.</t>
  </si>
  <si>
    <t>J'ai demandé à mes camarades de tester mon programme pour voir si j'avais pu passer à côté de quelque chose.</t>
  </si>
  <si>
    <t>Et pour finir, j'ai tout noté dans mon journal de travail.</t>
  </si>
  <si>
    <t>J'ai fait la partie quand on gagne et du coup aussi une vérification si le code correspond au code secret pour accéder à la partie gagnante avec un message pour relancer le programme.</t>
  </si>
  <si>
    <t>J'ai ensuite fait la génération du code aléatoire sans doublon. J'ai d'abord trouvé une solution, mais j'en ai trouvé une autre qui était beaucoup plus optimisée que la première.</t>
  </si>
  <si>
    <t>Programme</t>
  </si>
  <si>
    <t>Boucle Documentation</t>
  </si>
  <si>
    <t>Listes Documentation</t>
  </si>
  <si>
    <t>J'ai finaliser mon code, changer tout les commentaires, structure, etc.</t>
  </si>
  <si>
    <t>secretcode_augusto\Program.cs</t>
  </si>
  <si>
    <t xml:space="preserve">J'ai finaliser mon journal de travail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</si>
</sst>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8"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8"/>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41">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style="medium">
        <color indexed="64"/>
      </right>
      <top style="medium">
        <color indexed="64"/>
      </top>
      <bottom style="dashed">
        <color indexed="64"/>
      </bottom>
      <diagonal/>
    </border>
    <border>
      <left/>
      <right style="medium">
        <color indexed="64"/>
      </right>
      <top style="dashed">
        <color indexed="64"/>
      </top>
      <bottom style="dashed">
        <color indexed="64"/>
      </bottom>
      <diagonal/>
    </border>
    <border>
      <left style="medium">
        <color indexed="64"/>
      </left>
      <right style="medium">
        <color indexed="64"/>
      </right>
      <top/>
      <bottom style="dashed">
        <color indexed="64"/>
      </bottom>
      <diagonal/>
    </border>
    <border>
      <left/>
      <right style="medium">
        <color indexed="64"/>
      </right>
      <top style="medium">
        <color indexed="64"/>
      </top>
      <bottom style="dotted">
        <color indexed="64"/>
      </bottom>
      <diagonal/>
    </border>
    <border>
      <left/>
      <right style="medium">
        <color indexed="64"/>
      </right>
      <top style="dotted">
        <color indexed="64"/>
      </top>
      <bottom style="dotted">
        <color indexed="64"/>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style="dotted">
        <color indexed="64"/>
      </top>
      <bottom style="dotted">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13">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12" borderId="13" xfId="0" applyFont="1" applyFill="1" applyBorder="1" applyAlignment="1">
      <alignment horizontal="left" vertical="top" wrapText="1"/>
    </xf>
    <xf numFmtId="0" fontId="17" fillId="9" borderId="0" xfId="0" applyFont="1" applyFill="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8" fillId="0" borderId="35" xfId="0" applyFont="1" applyBorder="1" applyAlignment="1" applyProtection="1">
      <alignment horizontal="center" vertical="center" wrapText="1"/>
      <protection locked="0"/>
    </xf>
    <xf numFmtId="0" fontId="8" fillId="0" borderId="36" xfId="1" applyFont="1" applyFill="1" applyBorder="1" applyAlignment="1" applyProtection="1">
      <alignment horizontal="center" vertical="center" wrapText="1"/>
      <protection locked="0"/>
    </xf>
    <xf numFmtId="0" fontId="0" fillId="9" borderId="0" xfId="0" applyFill="1" applyAlignment="1">
      <alignment horizontal="left"/>
    </xf>
    <xf numFmtId="0" fontId="0" fillId="9" borderId="37" xfId="0" applyFill="1" applyBorder="1" applyAlignment="1">
      <alignment horizontal="center" vertical="center"/>
    </xf>
    <xf numFmtId="0" fontId="0" fillId="9" borderId="38" xfId="0" applyFill="1" applyBorder="1" applyAlignment="1">
      <alignment horizontal="center" vertical="center"/>
    </xf>
    <xf numFmtId="0" fontId="0" fillId="0" borderId="1" xfId="1" applyFont="1" applyFill="1" applyBorder="1" applyAlignment="1" applyProtection="1">
      <alignment horizontal="center" vertical="center" wrapText="1"/>
      <protection locked="0"/>
    </xf>
    <xf numFmtId="0" fontId="0" fillId="9" borderId="39" xfId="0" applyFill="1" applyBorder="1" applyAlignment="1">
      <alignment horizontal="left" vertical="top" wrapText="1"/>
    </xf>
    <xf numFmtId="0" fontId="0" fillId="9" borderId="40" xfId="0" applyFill="1" applyBorder="1" applyAlignment="1">
      <alignment horizontal="left" vertical="top" wrapText="1"/>
    </xf>
    <xf numFmtId="0" fontId="0" fillId="9" borderId="40" xfId="0" applyFill="1" applyBorder="1" applyAlignment="1">
      <alignment horizontal="left" vertical="top"/>
    </xf>
    <xf numFmtId="0" fontId="0" fillId="9" borderId="0" xfId="0" applyFill="1" applyAlignment="1">
      <alignment horizontal="left" vertical="top"/>
    </xf>
    <xf numFmtId="0" fontId="8" fillId="0" borderId="34" xfId="0" applyFont="1" applyBorder="1" applyAlignment="1" applyProtection="1">
      <alignment horizontal="center" vertical="center" wrapText="1"/>
      <protection locked="0"/>
    </xf>
    <xf numFmtId="0" fontId="1" fillId="0" borderId="1" xfId="1" applyBorder="1" applyAlignment="1" applyProtection="1">
      <alignment horizontal="center" vertical="center" wrapText="1"/>
      <protection locked="0"/>
    </xf>
    <xf numFmtId="0" fontId="1" fillId="0" borderId="2" xfId="1" applyBorder="1" applyAlignment="1" applyProtection="1">
      <alignment horizontal="center" vertical="center" wrapText="1"/>
      <protection locked="0"/>
    </xf>
    <xf numFmtId="0" fontId="1" fillId="0" borderId="36" xfId="1" applyBorder="1" applyAlignment="1" applyProtection="1">
      <alignment horizontal="center" vertical="center" wrapText="1"/>
      <protection locked="0"/>
    </xf>
    <xf numFmtId="0" fontId="0" fillId="9" borderId="10" xfId="0" applyFill="1" applyBorder="1"/>
    <xf numFmtId="0" fontId="1" fillId="0" borderId="13" xfId="1" applyFill="1" applyBorder="1" applyAlignment="1" applyProtection="1">
      <alignment horizontal="center" vertical="center"/>
    </xf>
    <xf numFmtId="0" fontId="1" fillId="9" borderId="17" xfId="1" applyFill="1" applyBorder="1" applyAlignment="1" applyProtection="1">
      <alignment horizontal="center" vertical="center" wrapText="1"/>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applyAlignment="1"/>
    <xf numFmtId="0" fontId="1" fillId="0" borderId="1" xfId="1" applyBorder="1" applyAlignment="1" applyProtection="1">
      <alignment horizontal="left" vertical="top" wrapText="1"/>
      <protection locked="0"/>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6</xdr:col>
          <xdr:colOff>361950</xdr:colOff>
          <xdr:row>2</xdr:row>
          <xdr:rowOff>152400</xdr:rowOff>
        </xdr:to>
        <xdr:sp macro="" textlink="">
          <xdr:nvSpPr>
            <xdr:cNvPr id="39937" name="btnImportRealisation" hidden="1">
              <a:extLst>
                <a:ext uri="{63B3BB69-23CF-44E3-9099-C40C66FF867C}">
                  <a14:compatExt spid="_x0000_s39937"/>
                </a:ext>
                <a:ext uri="{FF2B5EF4-FFF2-40B4-BE49-F238E27FC236}">
                  <a16:creationId xmlns:a16="http://schemas.microsoft.com/office/drawing/2014/main" id="{00000000-0008-0000-05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hyperlink" Target="secretcode_augusto\Program.cs" TargetMode="External"/><Relationship Id="rId13" Type="http://schemas.openxmlformats.org/officeDocument/2006/relationships/hyperlink" Target="secretcode_augusto\Program.cs" TargetMode="External"/><Relationship Id="rId18" Type="http://schemas.openxmlformats.org/officeDocument/2006/relationships/hyperlink" Target="Romain_Augusto-p_prog319-GRP1C-jdt-2025.xlsm" TargetMode="External"/><Relationship Id="rId26" Type="http://schemas.openxmlformats.org/officeDocument/2006/relationships/printerSettings" Target="../printerSettings/printerSettings4.bin"/><Relationship Id="rId3" Type="http://schemas.openxmlformats.org/officeDocument/2006/relationships/hyperlink" Target="secretcode_augusto\Program.cs" TargetMode="External"/><Relationship Id="rId21" Type="http://schemas.openxmlformats.org/officeDocument/2006/relationships/hyperlink" Target="Romain_Augusto-p_prog319-GRP1C-jdt-2025.xlsm" TargetMode="External"/><Relationship Id="rId7" Type="http://schemas.openxmlformats.org/officeDocument/2006/relationships/hyperlink" Target="secretcode_augusto\Program.cs" TargetMode="External"/><Relationship Id="rId12" Type="http://schemas.openxmlformats.org/officeDocument/2006/relationships/hyperlink" Target="secretcode_augusto\Program.cs" TargetMode="External"/><Relationship Id="rId17" Type="http://schemas.openxmlformats.org/officeDocument/2006/relationships/hyperlink" Target="Romain_Augusto-p_prog319-GRP1C-jdt-2025.xlsm" TargetMode="External"/><Relationship Id="rId25" Type="http://schemas.openxmlformats.org/officeDocument/2006/relationships/hyperlink" Target="secretcode_augusto\Program.cs" TargetMode="External"/><Relationship Id="rId2" Type="http://schemas.openxmlformats.org/officeDocument/2006/relationships/hyperlink" Target="secretcode_augusto\Program.cs" TargetMode="External"/><Relationship Id="rId16" Type="http://schemas.openxmlformats.org/officeDocument/2006/relationships/hyperlink" Target="Romain_Augusto-p_prog319-GRP1C-jdt-2025.xlsm" TargetMode="External"/><Relationship Id="rId20" Type="http://schemas.openxmlformats.org/officeDocument/2006/relationships/hyperlink" Target="Romain_Augusto-p_prog319-GRP1C-jdt-2025.xlsm" TargetMode="External"/><Relationship Id="rId29" Type="http://schemas.openxmlformats.org/officeDocument/2006/relationships/control" Target="../activeX/activeX6.xml"/><Relationship Id="rId1" Type="http://schemas.openxmlformats.org/officeDocument/2006/relationships/hyperlink" Target="secretcode_augusto\Program.cs" TargetMode="External"/><Relationship Id="rId6" Type="http://schemas.openxmlformats.org/officeDocument/2006/relationships/hyperlink" Target="secretcode_augusto\Program.cs" TargetMode="External"/><Relationship Id="rId11" Type="http://schemas.openxmlformats.org/officeDocument/2006/relationships/hyperlink" Target="secretcode_augusto\Program.cs" TargetMode="External"/><Relationship Id="rId24" Type="http://schemas.openxmlformats.org/officeDocument/2006/relationships/hyperlink" Target="https://blog.alphorm.com/travailler-listes-csharp" TargetMode="External"/><Relationship Id="rId5" Type="http://schemas.openxmlformats.org/officeDocument/2006/relationships/hyperlink" Target="secretcode_augusto\Program.cs" TargetMode="External"/><Relationship Id="rId15" Type="http://schemas.openxmlformats.org/officeDocument/2006/relationships/hyperlink" Target="secretcode_augusto\Program.cs" TargetMode="External"/><Relationship Id="rId23" Type="http://schemas.openxmlformats.org/officeDocument/2006/relationships/hyperlink" Target="https://mrebi.com/fr/c-sharp/csharp-loops/" TargetMode="External"/><Relationship Id="rId28" Type="http://schemas.openxmlformats.org/officeDocument/2006/relationships/vmlDrawing" Target="../drawings/vmlDrawing5.vml"/><Relationship Id="rId10" Type="http://schemas.openxmlformats.org/officeDocument/2006/relationships/hyperlink" Target="secretcode_augusto\Program.cs" TargetMode="External"/><Relationship Id="rId19" Type="http://schemas.openxmlformats.org/officeDocument/2006/relationships/hyperlink" Target="Romain_Augusto-p_prog319-GRP1C-jdt-2025.xlsm" TargetMode="External"/><Relationship Id="rId4" Type="http://schemas.openxmlformats.org/officeDocument/2006/relationships/hyperlink" Target="secretcode_augusto\Program.cs" TargetMode="External"/><Relationship Id="rId9" Type="http://schemas.openxmlformats.org/officeDocument/2006/relationships/hyperlink" Target="secretcode_augusto\Program.cs" TargetMode="External"/><Relationship Id="rId14" Type="http://schemas.openxmlformats.org/officeDocument/2006/relationships/hyperlink" Target="secretcode_augusto\Program.cs" TargetMode="External"/><Relationship Id="rId22" Type="http://schemas.openxmlformats.org/officeDocument/2006/relationships/hyperlink" Target="secretcode_augusto\secretcode_augusto.sln" TargetMode="External"/><Relationship Id="rId27" Type="http://schemas.openxmlformats.org/officeDocument/2006/relationships/drawing" Target="../drawings/drawing4.xml"/><Relationship Id="rId30"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topLeftCell="B12" zoomScaleNormal="100" zoomScaleSheetLayoutView="100" workbookViewId="0">
      <selection activeCell="C31" sqref="C31"/>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0</v>
      </c>
      <c r="C3" s="62">
        <v>319</v>
      </c>
      <c r="D3" s="59"/>
      <c r="E3" s="59"/>
      <c r="F3" s="59"/>
      <c r="G3" s="60"/>
    </row>
    <row r="4" spans="1:7" ht="20.25" x14ac:dyDescent="0.25">
      <c r="A4" s="58"/>
      <c r="B4" s="63" t="s">
        <v>1</v>
      </c>
      <c r="C4" s="64" t="s">
        <v>24</v>
      </c>
      <c r="D4" s="59"/>
      <c r="E4" s="59"/>
      <c r="F4" s="59"/>
      <c r="G4" s="60"/>
    </row>
    <row r="5" spans="1:7" ht="20.25" x14ac:dyDescent="0.25">
      <c r="A5" s="58"/>
      <c r="B5" s="63" t="s">
        <v>2</v>
      </c>
      <c r="C5" s="64" t="s">
        <v>25</v>
      </c>
      <c r="D5" s="59"/>
      <c r="E5" s="59"/>
      <c r="F5" s="59"/>
      <c r="G5" s="60"/>
    </row>
    <row r="6" spans="1:7" ht="21" thickBot="1" x14ac:dyDescent="0.3">
      <c r="A6" s="58"/>
      <c r="B6" s="65" t="s">
        <v>3</v>
      </c>
      <c r="C6" s="66" t="s">
        <v>26</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4</v>
      </c>
      <c r="C9" s="67">
        <v>45897</v>
      </c>
      <c r="D9" s="59"/>
      <c r="E9" s="59"/>
      <c r="F9" s="59"/>
      <c r="G9" s="60"/>
    </row>
    <row r="10" spans="1:7" ht="20.25" x14ac:dyDescent="0.25">
      <c r="A10" s="58"/>
      <c r="B10" s="68" t="s">
        <v>5</v>
      </c>
      <c r="C10" s="69">
        <v>45960</v>
      </c>
      <c r="D10" s="59"/>
      <c r="E10" s="59"/>
      <c r="F10" s="59"/>
      <c r="G10" s="60"/>
    </row>
    <row r="11" spans="1:7" ht="20.25" x14ac:dyDescent="0.25">
      <c r="A11" s="58"/>
      <c r="B11" s="68" t="s">
        <v>6</v>
      </c>
      <c r="C11" s="70">
        <v>8</v>
      </c>
      <c r="D11" s="59"/>
      <c r="E11" s="59"/>
      <c r="F11" s="59"/>
      <c r="G11" s="60"/>
    </row>
    <row r="12" spans="1:7" ht="20.25" x14ac:dyDescent="0.25">
      <c r="A12" s="58"/>
      <c r="B12" s="63" t="s">
        <v>7</v>
      </c>
      <c r="C12" s="71">
        <v>4</v>
      </c>
      <c r="D12" s="59"/>
      <c r="E12" s="59"/>
      <c r="F12" s="59"/>
      <c r="G12" s="60"/>
    </row>
    <row r="13" spans="1:7" ht="20.25" x14ac:dyDescent="0.25">
      <c r="A13" s="58"/>
      <c r="B13" s="63" t="s">
        <v>8</v>
      </c>
      <c r="C13" s="71">
        <v>3</v>
      </c>
      <c r="D13" s="59"/>
      <c r="E13" s="59"/>
      <c r="F13" s="59"/>
      <c r="G13" s="60"/>
    </row>
    <row r="14" spans="1:7" ht="20.25" thickBot="1" x14ac:dyDescent="0.3">
      <c r="A14" s="58"/>
      <c r="B14" s="72"/>
      <c r="C14" s="73" t="s">
        <v>9</v>
      </c>
      <c r="D14" s="59"/>
      <c r="E14" s="59"/>
      <c r="F14" s="59"/>
      <c r="G14" s="60"/>
    </row>
    <row r="15" spans="1:7" x14ac:dyDescent="0.25">
      <c r="A15" s="58"/>
      <c r="B15" s="59"/>
      <c r="C15" s="59"/>
      <c r="D15" s="59"/>
      <c r="E15" s="59"/>
      <c r="F15" s="59"/>
      <c r="G15" s="60"/>
    </row>
    <row r="16" spans="1:7" ht="14.25" thickBot="1" x14ac:dyDescent="0.3">
      <c r="A16" s="74"/>
      <c r="B16" s="75"/>
      <c r="C16" s="75"/>
      <c r="D16" s="75"/>
      <c r="E16" s="75"/>
      <c r="F16" s="75"/>
      <c r="G16" s="76"/>
    </row>
    <row r="17" spans="1:7" x14ac:dyDescent="0.25">
      <c r="A17" s="77"/>
      <c r="B17" s="55"/>
      <c r="C17" s="55"/>
      <c r="D17" s="55"/>
      <c r="E17" s="55"/>
      <c r="F17" s="55"/>
      <c r="G17" s="56"/>
    </row>
    <row r="18" spans="1:7" ht="14.25" thickBot="1" x14ac:dyDescent="0.3">
      <c r="A18" s="78"/>
      <c r="B18" s="59"/>
      <c r="C18" s="59"/>
      <c r="D18" s="59"/>
      <c r="E18" s="59"/>
      <c r="F18" s="59"/>
      <c r="G18" s="60"/>
    </row>
    <row r="19" spans="1:7" ht="21" thickBot="1" x14ac:dyDescent="0.3">
      <c r="A19" s="78"/>
      <c r="B19" s="108" t="s">
        <v>10</v>
      </c>
      <c r="C19" s="109"/>
      <c r="D19" s="59"/>
      <c r="E19" s="59"/>
      <c r="F19" s="59"/>
      <c r="G19" s="60"/>
    </row>
    <row r="20" spans="1:7" ht="20.25" x14ac:dyDescent="0.25">
      <c r="A20" s="78"/>
      <c r="B20" s="79" t="s">
        <v>11</v>
      </c>
      <c r="C20" s="80" t="s">
        <v>12</v>
      </c>
      <c r="D20" s="59"/>
      <c r="E20" s="59"/>
      <c r="F20" s="59"/>
      <c r="G20" s="60"/>
    </row>
    <row r="21" spans="1:7" ht="20.25" x14ac:dyDescent="0.25">
      <c r="A21" s="78"/>
      <c r="B21" s="79">
        <v>1</v>
      </c>
      <c r="C21" s="69" t="s">
        <v>27</v>
      </c>
      <c r="D21" s="59"/>
      <c r="E21" s="59"/>
      <c r="F21" s="59"/>
      <c r="G21" s="60"/>
    </row>
    <row r="22" spans="1:7" ht="20.25" x14ac:dyDescent="0.25">
      <c r="A22" s="78"/>
      <c r="B22" s="79">
        <v>2</v>
      </c>
      <c r="C22" s="69" t="s">
        <v>35</v>
      </c>
      <c r="D22" s="59"/>
      <c r="E22" s="59"/>
      <c r="F22" s="59"/>
      <c r="G22" s="60"/>
    </row>
    <row r="23" spans="1:7" ht="20.25" x14ac:dyDescent="0.25">
      <c r="A23" s="78"/>
      <c r="B23" s="81">
        <v>3</v>
      </c>
      <c r="C23" s="69" t="s">
        <v>37</v>
      </c>
      <c r="D23" s="59"/>
      <c r="E23" s="59"/>
      <c r="F23" s="59"/>
      <c r="G23" s="60"/>
    </row>
    <row r="24" spans="1:7" ht="20.25" x14ac:dyDescent="0.25">
      <c r="A24" s="78"/>
      <c r="B24" s="79">
        <v>4</v>
      </c>
      <c r="C24" s="69" t="s">
        <v>38</v>
      </c>
      <c r="D24" s="59"/>
      <c r="E24" s="59"/>
      <c r="F24" s="59"/>
      <c r="G24" s="60"/>
    </row>
    <row r="25" spans="1:7" ht="20.25" x14ac:dyDescent="0.25">
      <c r="A25" s="78"/>
      <c r="B25" s="79">
        <v>5</v>
      </c>
      <c r="C25" s="69" t="s">
        <v>39</v>
      </c>
      <c r="D25" s="59"/>
      <c r="E25" s="59"/>
      <c r="F25" s="59"/>
      <c r="G25" s="60"/>
    </row>
    <row r="26" spans="1:7" ht="20.25" x14ac:dyDescent="0.25">
      <c r="A26" s="78"/>
      <c r="B26" s="81">
        <v>6</v>
      </c>
      <c r="C26" s="69" t="s">
        <v>28</v>
      </c>
      <c r="D26" s="59"/>
      <c r="E26" s="59"/>
      <c r="F26" s="59"/>
      <c r="G26" s="60"/>
    </row>
    <row r="27" spans="1:7" ht="20.25" x14ac:dyDescent="0.25">
      <c r="A27" s="78"/>
      <c r="B27" s="79">
        <v>7</v>
      </c>
      <c r="C27" s="70"/>
      <c r="D27" s="59"/>
      <c r="E27" s="59"/>
      <c r="F27" s="59"/>
      <c r="G27" s="60"/>
    </row>
    <row r="28" spans="1:7" ht="20.25" x14ac:dyDescent="0.25">
      <c r="A28" s="78"/>
      <c r="B28" s="79">
        <v>8</v>
      </c>
      <c r="C28" s="71"/>
      <c r="D28" s="59"/>
      <c r="E28" s="59"/>
      <c r="F28" s="59"/>
      <c r="G28" s="60"/>
    </row>
    <row r="29" spans="1:7" ht="20.25" x14ac:dyDescent="0.25">
      <c r="A29" s="78"/>
      <c r="B29" s="81">
        <v>9</v>
      </c>
      <c r="C29" s="71"/>
      <c r="D29" s="59"/>
      <c r="E29" s="59"/>
      <c r="F29" s="59"/>
      <c r="G29" s="60"/>
    </row>
    <row r="30" spans="1:7" ht="20.25" x14ac:dyDescent="0.25">
      <c r="A30" s="78"/>
      <c r="B30" s="79">
        <v>10</v>
      </c>
      <c r="C30" s="70"/>
      <c r="D30" s="59"/>
      <c r="E30" s="59"/>
      <c r="F30" s="59"/>
      <c r="G30" s="60"/>
    </row>
    <row r="31" spans="1:7" ht="20.25" x14ac:dyDescent="0.25">
      <c r="A31" s="78"/>
      <c r="B31" s="79">
        <v>11</v>
      </c>
      <c r="C31" s="70"/>
      <c r="D31" s="59"/>
      <c r="E31" s="59"/>
      <c r="F31" s="59"/>
      <c r="G31" s="60"/>
    </row>
    <row r="32" spans="1:7" ht="20.25" x14ac:dyDescent="0.25">
      <c r="A32" s="78"/>
      <c r="B32" s="81">
        <v>12</v>
      </c>
      <c r="C32" s="70"/>
      <c r="D32" s="59"/>
      <c r="E32" s="59"/>
      <c r="F32" s="59"/>
      <c r="G32" s="60"/>
    </row>
    <row r="33" spans="1:7" ht="20.25" x14ac:dyDescent="0.25">
      <c r="A33" s="78"/>
      <c r="B33" s="79">
        <v>13</v>
      </c>
      <c r="C33" s="70"/>
      <c r="D33" s="59"/>
      <c r="E33" s="59"/>
      <c r="F33" s="59"/>
      <c r="G33" s="60"/>
    </row>
    <row r="34" spans="1:7" ht="20.25" x14ac:dyDescent="0.25">
      <c r="A34" s="78"/>
      <c r="B34" s="79">
        <v>14</v>
      </c>
      <c r="C34" s="71"/>
      <c r="D34" s="59"/>
      <c r="E34" s="59"/>
      <c r="F34" s="59"/>
      <c r="G34" s="60"/>
    </row>
    <row r="35" spans="1:7" ht="20.25" x14ac:dyDescent="0.25">
      <c r="A35" s="78"/>
      <c r="B35" s="81">
        <v>15</v>
      </c>
      <c r="C35" s="71"/>
      <c r="D35" s="59"/>
      <c r="E35" s="59"/>
      <c r="F35" s="59"/>
      <c r="G35" s="60"/>
    </row>
    <row r="36" spans="1:7" ht="20.25" x14ac:dyDescent="0.25">
      <c r="A36" s="78"/>
      <c r="B36" s="79">
        <v>16</v>
      </c>
      <c r="C36" s="70"/>
      <c r="D36" s="59"/>
      <c r="E36" s="59"/>
      <c r="F36" s="59"/>
      <c r="G36" s="60"/>
    </row>
    <row r="37" spans="1:7" ht="20.25" x14ac:dyDescent="0.25">
      <c r="A37" s="78"/>
      <c r="B37" s="79">
        <v>17</v>
      </c>
      <c r="C37" s="70"/>
      <c r="D37" s="59"/>
      <c r="E37" s="59"/>
      <c r="F37" s="59"/>
      <c r="G37" s="60"/>
    </row>
    <row r="38" spans="1:7" ht="20.25" x14ac:dyDescent="0.25">
      <c r="A38" s="78"/>
      <c r="B38" s="81">
        <v>18</v>
      </c>
      <c r="C38" s="70"/>
      <c r="D38" s="59"/>
      <c r="E38" s="59"/>
      <c r="F38" s="59"/>
      <c r="G38" s="60"/>
    </row>
    <row r="39" spans="1:7" ht="20.25" x14ac:dyDescent="0.25">
      <c r="A39" s="78"/>
      <c r="B39" s="79">
        <v>19</v>
      </c>
      <c r="C39" s="70"/>
      <c r="D39" s="59"/>
      <c r="E39" s="59"/>
      <c r="F39" s="59"/>
      <c r="G39" s="60"/>
    </row>
    <row r="40" spans="1:7" ht="20.25" x14ac:dyDescent="0.25">
      <c r="A40" s="78"/>
      <c r="B40" s="79">
        <v>20</v>
      </c>
      <c r="C40" s="71"/>
      <c r="D40" s="59"/>
      <c r="E40" s="59"/>
      <c r="F40" s="59"/>
      <c r="G40" s="60"/>
    </row>
    <row r="41" spans="1:7" ht="20.25" x14ac:dyDescent="0.25">
      <c r="A41" s="78"/>
      <c r="B41" s="81">
        <v>21</v>
      </c>
      <c r="C41" s="71"/>
      <c r="D41" s="59"/>
      <c r="E41" s="59"/>
      <c r="F41" s="59"/>
      <c r="G41" s="60"/>
    </row>
    <row r="42" spans="1:7" ht="20.25" x14ac:dyDescent="0.25">
      <c r="A42" s="78"/>
      <c r="B42" s="79">
        <v>22</v>
      </c>
      <c r="C42" s="70"/>
      <c r="D42" s="59"/>
      <c r="E42" s="59"/>
      <c r="F42" s="59"/>
      <c r="G42" s="60"/>
    </row>
    <row r="43" spans="1:7" ht="20.25" x14ac:dyDescent="0.25">
      <c r="A43" s="78"/>
      <c r="B43" s="79">
        <v>23</v>
      </c>
      <c r="C43" s="70"/>
      <c r="D43" s="59"/>
      <c r="E43" s="59"/>
      <c r="F43" s="59"/>
      <c r="G43" s="60"/>
    </row>
    <row r="44" spans="1:7" ht="20.2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4.25" thickBot="1" x14ac:dyDescent="0.3">
      <c r="A54" s="84"/>
      <c r="B54" s="75"/>
      <c r="C54" s="75"/>
      <c r="D54" s="75"/>
      <c r="E54" s="75"/>
      <c r="F54" s="75"/>
      <c r="G54" s="76"/>
    </row>
  </sheetData>
  <sheetProtection selectLockedCells="1"/>
  <mergeCells count="1">
    <mergeCell ref="B19:C19"/>
  </mergeCells>
  <phoneticPr fontId="16" type="noConversion"/>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2" r:id="rId5" name="btnCreateDiagram">
          <controlPr defaultSize="0" autoLine="0" r:id="rId6">
            <anchor moveWithCells="1">
              <from>
                <xdr:col>4</xdr:col>
                <xdr:colOff>9525</xdr:colOff>
                <xdr:row>1</xdr:row>
                <xdr:rowOff>161925</xdr:rowOff>
              </from>
              <to>
                <xdr:col>6</xdr:col>
                <xdr:colOff>76200</xdr:colOff>
                <xdr:row>3</xdr:row>
                <xdr:rowOff>200025</xdr:rowOff>
              </to>
            </anchor>
          </controlPr>
        </control>
      </mc:Choice>
      <mc:Fallback>
        <control shapeId="15362" r:id="rId5" name="btnCreateDiagram"/>
      </mc:Fallback>
    </mc:AlternateContent>
    <mc:AlternateContent xmlns:mc="http://schemas.openxmlformats.org/markup-compatibility/2006">
      <mc:Choice Requires="x14">
        <control shapeId="15364" r:id="rId7" name="btnCreatePlanning">
          <controlPr defaultSize="0" autoLine="0" r:id="rId8">
            <anchor moveWithCells="1">
              <from>
                <xdr:col>4</xdr:col>
                <xdr:colOff>9525</xdr:colOff>
                <xdr:row>5</xdr:row>
                <xdr:rowOff>9525</xdr:rowOff>
              </from>
              <to>
                <xdr:col>6</xdr:col>
                <xdr:colOff>95250</xdr:colOff>
                <xdr:row>7</xdr:row>
                <xdr:rowOff>47625</xdr:rowOff>
              </to>
            </anchor>
          </controlPr>
        </control>
      </mc:Choice>
      <mc:Fallback>
        <control shapeId="15364" r:id="rId7" name="btnCreatePlanning"/>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13</v>
      </c>
      <c r="C2" s="15" t="s">
        <v>14</v>
      </c>
    </row>
    <row r="3" spans="1:4" ht="19.5" customHeight="1" x14ac:dyDescent="0.25">
      <c r="A3" s="19"/>
      <c r="B3" s="110" t="s">
        <v>12</v>
      </c>
      <c r="C3" s="16">
        <v>0</v>
      </c>
    </row>
    <row r="4" spans="1:4" ht="19.5" customHeight="1" x14ac:dyDescent="0.25">
      <c r="A4" s="19"/>
      <c r="B4" s="111"/>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ColWidth="11.42578125"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17</v>
      </c>
      <c r="B1" s="7">
        <v>1</v>
      </c>
      <c r="C1" s="17"/>
      <c r="D1" s="85"/>
    </row>
    <row r="2" spans="1:4" ht="27.75" thickBot="1" x14ac:dyDescent="0.3">
      <c r="A2" s="8" t="s">
        <v>18</v>
      </c>
      <c r="B2" s="18" t="s">
        <v>19</v>
      </c>
      <c r="C2" s="8" t="s">
        <v>20</v>
      </c>
      <c r="D2" s="8" t="s">
        <v>21</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17</v>
      </c>
      <c r="B1" s="43">
        <v>1</v>
      </c>
      <c r="C1" s="44" t="s">
        <v>23</v>
      </c>
      <c r="D1" s="53"/>
    </row>
    <row r="2" spans="1:4" ht="27.75" thickBot="1" x14ac:dyDescent="0.3">
      <c r="A2" s="45" t="s">
        <v>18</v>
      </c>
      <c r="B2" s="46" t="s">
        <v>19</v>
      </c>
      <c r="C2" s="45" t="s">
        <v>20</v>
      </c>
      <c r="D2" s="45" t="s">
        <v>21</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22</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E139F0-ED98-40B5-BC3E-69BAD1195CF7}">
  <sheetPr codeName="Feuil9"/>
  <dimension ref="A1:H153"/>
  <sheetViews>
    <sheetView tabSelected="1" topLeftCell="A119" workbookViewId="0">
      <selection activeCell="C137" sqref="C137"/>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37.7109375" style="20" customWidth="1"/>
    <col min="5" max="5" width="21.28515625" style="20" customWidth="1"/>
    <col min="6" max="16384" width="11.42578125" style="20"/>
  </cols>
  <sheetData>
    <row r="1" spans="1:4" ht="18.75" thickBot="1" x14ac:dyDescent="0.3">
      <c r="A1" s="42" t="s">
        <v>17</v>
      </c>
      <c r="B1" s="43">
        <v>1</v>
      </c>
      <c r="C1" s="44" t="s">
        <v>23</v>
      </c>
      <c r="D1" s="53">
        <f>Donnees!$C$9</f>
        <v>45897</v>
      </c>
    </row>
    <row r="2" spans="1:4" ht="27.75" thickBot="1" x14ac:dyDescent="0.3">
      <c r="A2" s="45" t="s">
        <v>18</v>
      </c>
      <c r="B2" s="46" t="s">
        <v>19</v>
      </c>
      <c r="C2" s="45" t="s">
        <v>20</v>
      </c>
      <c r="D2" s="45" t="s">
        <v>21</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22</v>
      </c>
      <c r="B18" s="47">
        <f>SUM(B3:B17)</f>
        <v>0</v>
      </c>
      <c r="C18" s="86" t="s">
        <v>29</v>
      </c>
      <c r="D18" s="48"/>
    </row>
    <row r="19" spans="1:8" ht="15" thickBot="1" x14ac:dyDescent="0.35">
      <c r="A19" s="49"/>
      <c r="B19" s="49"/>
      <c r="C19" s="49"/>
      <c r="D19" s="49"/>
    </row>
    <row r="20" spans="1:8" ht="18.75" thickBot="1" x14ac:dyDescent="0.3">
      <c r="A20" s="42" t="s">
        <v>17</v>
      </c>
      <c r="B20" s="43">
        <v>2</v>
      </c>
      <c r="C20" s="44" t="s">
        <v>23</v>
      </c>
      <c r="D20" s="53">
        <f>$D$1+7</f>
        <v>45904</v>
      </c>
    </row>
    <row r="21" spans="1:8" ht="27.75" thickBot="1" x14ac:dyDescent="0.3">
      <c r="A21" s="45" t="s">
        <v>18</v>
      </c>
      <c r="B21" s="46" t="s">
        <v>19</v>
      </c>
      <c r="C21" s="45" t="s">
        <v>20</v>
      </c>
      <c r="D21" s="45" t="s">
        <v>21</v>
      </c>
    </row>
    <row r="22" spans="1:8" ht="40.5" x14ac:dyDescent="0.25">
      <c r="A22" s="5" t="s">
        <v>27</v>
      </c>
      <c r="B22" s="4">
        <v>3</v>
      </c>
      <c r="C22" s="88" t="s">
        <v>59</v>
      </c>
      <c r="D22" s="102" t="s">
        <v>27</v>
      </c>
    </row>
    <row r="23" spans="1:8" x14ac:dyDescent="0.25">
      <c r="A23" s="1" t="s">
        <v>27</v>
      </c>
      <c r="B23" s="2">
        <v>1</v>
      </c>
      <c r="C23" s="89" t="s">
        <v>60</v>
      </c>
      <c r="D23" s="104" t="s">
        <v>27</v>
      </c>
    </row>
    <row r="24" spans="1:8" ht="30.75" customHeight="1" x14ac:dyDescent="0.25">
      <c r="A24" s="1" t="s">
        <v>28</v>
      </c>
      <c r="B24" s="2">
        <v>1</v>
      </c>
      <c r="C24" s="89" t="s">
        <v>61</v>
      </c>
      <c r="D24" s="10"/>
    </row>
    <row r="25" spans="1:8" ht="34.5" customHeight="1" x14ac:dyDescent="0.25">
      <c r="A25" s="1" t="s">
        <v>27</v>
      </c>
      <c r="B25" s="2">
        <v>3</v>
      </c>
      <c r="C25" s="89" t="s">
        <v>65</v>
      </c>
      <c r="D25" s="104" t="s">
        <v>27</v>
      </c>
      <c r="F25" s="31"/>
      <c r="G25" s="32"/>
      <c r="H25" s="33"/>
    </row>
    <row r="26" spans="1:8" ht="40.5" x14ac:dyDescent="0.25">
      <c r="A26" s="90" t="s">
        <v>31</v>
      </c>
      <c r="B26" s="2">
        <v>2</v>
      </c>
      <c r="C26" s="89" t="s">
        <v>64</v>
      </c>
      <c r="D26" s="104" t="s">
        <v>27</v>
      </c>
      <c r="F26" s="34"/>
      <c r="G26" s="30"/>
      <c r="H26" s="30"/>
    </row>
    <row r="27" spans="1:8" ht="27" x14ac:dyDescent="0.25">
      <c r="A27" s="90" t="s">
        <v>32</v>
      </c>
      <c r="B27" s="2">
        <v>1</v>
      </c>
      <c r="C27" s="89" t="s">
        <v>62</v>
      </c>
      <c r="D27" s="10"/>
      <c r="F27" s="36"/>
      <c r="G27" s="37"/>
      <c r="H27" s="37"/>
    </row>
    <row r="28" spans="1:8" x14ac:dyDescent="0.25">
      <c r="A28" s="1" t="s">
        <v>37</v>
      </c>
      <c r="B28" s="2">
        <v>1</v>
      </c>
      <c r="C28" s="89" t="s">
        <v>63</v>
      </c>
      <c r="D28" s="103" t="s">
        <v>37</v>
      </c>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5" thickBot="1" x14ac:dyDescent="0.35">
      <c r="A36" s="3"/>
      <c r="B36" s="3"/>
      <c r="C36" s="11"/>
      <c r="D36" s="11"/>
      <c r="F36" s="40"/>
      <c r="G36" s="40"/>
      <c r="H36" s="40"/>
    </row>
    <row r="37" spans="1:8" ht="14.25" thickBot="1" x14ac:dyDescent="0.3">
      <c r="A37" s="47" t="s">
        <v>22</v>
      </c>
      <c r="B37" s="47">
        <f>SUM(B22:B36)</f>
        <v>12</v>
      </c>
      <c r="C37" s="86" t="s">
        <v>29</v>
      </c>
      <c r="D37" s="48"/>
    </row>
    <row r="38" spans="1:8" ht="15" thickBot="1" x14ac:dyDescent="0.35">
      <c r="A38" s="49"/>
      <c r="B38" s="49"/>
      <c r="C38" s="49"/>
      <c r="D38" s="49"/>
    </row>
    <row r="39" spans="1:8" ht="18.75" thickBot="1" x14ac:dyDescent="0.3">
      <c r="A39" s="42" t="s">
        <v>17</v>
      </c>
      <c r="B39" s="43">
        <v>3</v>
      </c>
      <c r="C39" s="44" t="s">
        <v>23</v>
      </c>
      <c r="D39" s="53">
        <f>$D$20+7</f>
        <v>45911</v>
      </c>
    </row>
    <row r="40" spans="1:8" ht="27.75" thickBot="1" x14ac:dyDescent="0.3">
      <c r="A40" s="45" t="s">
        <v>18</v>
      </c>
      <c r="B40" s="46" t="s">
        <v>19</v>
      </c>
      <c r="C40" s="45" t="s">
        <v>20</v>
      </c>
      <c r="D40" s="45" t="s">
        <v>21</v>
      </c>
    </row>
    <row r="41" spans="1:8" s="93" customFormat="1" ht="31.5" customHeight="1" x14ac:dyDescent="0.25">
      <c r="A41" s="94" t="s">
        <v>27</v>
      </c>
      <c r="B41" s="101">
        <v>2</v>
      </c>
      <c r="C41" s="97" t="s">
        <v>52</v>
      </c>
      <c r="D41" s="102" t="s">
        <v>27</v>
      </c>
    </row>
    <row r="42" spans="1:8" ht="51" customHeight="1" thickBot="1" x14ac:dyDescent="0.3">
      <c r="A42" s="95" t="s">
        <v>31</v>
      </c>
      <c r="B42" s="91">
        <v>5</v>
      </c>
      <c r="C42" s="98" t="s">
        <v>53</v>
      </c>
      <c r="D42" s="104" t="s">
        <v>27</v>
      </c>
      <c r="E42" s="105"/>
    </row>
    <row r="43" spans="1:8" ht="31.5" customHeight="1" thickBot="1" x14ac:dyDescent="0.3">
      <c r="A43" s="95" t="s">
        <v>54</v>
      </c>
      <c r="B43" s="91">
        <v>1</v>
      </c>
      <c r="C43" s="98" t="s">
        <v>55</v>
      </c>
      <c r="D43" s="107" t="s">
        <v>67</v>
      </c>
      <c r="E43" s="106" t="s">
        <v>68</v>
      </c>
    </row>
    <row r="44" spans="1:8" ht="28.5" customHeight="1" x14ac:dyDescent="0.25">
      <c r="A44" s="95" t="s">
        <v>27</v>
      </c>
      <c r="B44" s="91">
        <v>2</v>
      </c>
      <c r="C44" s="98" t="s">
        <v>56</v>
      </c>
      <c r="D44" s="103" t="s">
        <v>27</v>
      </c>
    </row>
    <row r="45" spans="1:8" ht="18" customHeight="1" x14ac:dyDescent="0.25">
      <c r="A45" s="95" t="s">
        <v>35</v>
      </c>
      <c r="B45" s="91">
        <v>1</v>
      </c>
      <c r="C45" s="99" t="s">
        <v>57</v>
      </c>
      <c r="D45" s="104" t="s">
        <v>27</v>
      </c>
    </row>
    <row r="46" spans="1:8" ht="25.5" customHeight="1" x14ac:dyDescent="0.25">
      <c r="A46" s="95" t="s">
        <v>34</v>
      </c>
      <c r="B46" s="91">
        <v>1</v>
      </c>
      <c r="C46" s="100" t="s">
        <v>58</v>
      </c>
      <c r="D46" s="103" t="s">
        <v>37</v>
      </c>
    </row>
    <row r="47" spans="1:8" x14ac:dyDescent="0.25">
      <c r="A47" s="92"/>
      <c r="B47" s="10"/>
      <c r="C47" s="100"/>
      <c r="D47" s="10"/>
    </row>
    <row r="48" spans="1:8" x14ac:dyDescent="0.25">
      <c r="A48" s="1"/>
      <c r="B48" s="10"/>
      <c r="C48" s="10"/>
      <c r="D48" s="10"/>
    </row>
    <row r="49" spans="1:4" x14ac:dyDescent="0.25">
      <c r="A49" s="1"/>
      <c r="B49" s="10"/>
      <c r="C49" s="10"/>
      <c r="D49" s="10"/>
    </row>
    <row r="50" spans="1:4" x14ac:dyDescent="0.25">
      <c r="A50" s="2"/>
      <c r="B50" s="10"/>
      <c r="C50" s="10"/>
      <c r="D50" s="10"/>
    </row>
    <row r="51" spans="1:4" x14ac:dyDescent="0.25">
      <c r="A51" s="2"/>
      <c r="B51" s="10"/>
      <c r="C51" s="10"/>
      <c r="D51" s="10"/>
    </row>
    <row r="52" spans="1:4" x14ac:dyDescent="0.25">
      <c r="A52" s="2"/>
      <c r="B52" s="10"/>
      <c r="C52" s="10"/>
      <c r="D52" s="10"/>
    </row>
    <row r="53" spans="1:4" x14ac:dyDescent="0.25">
      <c r="A53" s="50"/>
      <c r="B53" s="51"/>
      <c r="C53" s="51"/>
      <c r="D53" s="51"/>
    </row>
    <row r="54" spans="1:4" x14ac:dyDescent="0.25">
      <c r="A54" s="50"/>
      <c r="B54" s="51"/>
      <c r="C54" s="51"/>
      <c r="D54" s="51"/>
    </row>
    <row r="55" spans="1:4" ht="14.25" thickBot="1" x14ac:dyDescent="0.3">
      <c r="A55" s="3"/>
      <c r="B55" s="11"/>
      <c r="C55" s="11"/>
      <c r="D55" s="11"/>
    </row>
    <row r="56" spans="1:4" ht="14.25" thickBot="1" x14ac:dyDescent="0.3">
      <c r="A56" s="47" t="s">
        <v>22</v>
      </c>
      <c r="B56" s="47">
        <f>SUM(B41:B55)</f>
        <v>12</v>
      </c>
      <c r="C56" s="86" t="s">
        <v>29</v>
      </c>
      <c r="D56" s="48"/>
    </row>
    <row r="57" spans="1:4" ht="15" thickBot="1" x14ac:dyDescent="0.35">
      <c r="A57" s="49"/>
      <c r="B57" s="49"/>
      <c r="C57" s="49"/>
      <c r="D57" s="49"/>
    </row>
    <row r="58" spans="1:4" ht="18.75" thickBot="1" x14ac:dyDescent="0.3">
      <c r="A58" s="42" t="s">
        <v>17</v>
      </c>
      <c r="B58" s="43">
        <v>4</v>
      </c>
      <c r="C58" s="44" t="s">
        <v>23</v>
      </c>
      <c r="D58" s="53">
        <f>$D$39+7</f>
        <v>45918</v>
      </c>
    </row>
    <row r="59" spans="1:4" ht="27.75" thickBot="1" x14ac:dyDescent="0.3">
      <c r="A59" s="45" t="s">
        <v>18</v>
      </c>
      <c r="B59" s="46" t="s">
        <v>19</v>
      </c>
      <c r="C59" s="45" t="s">
        <v>20</v>
      </c>
      <c r="D59" s="45" t="s">
        <v>21</v>
      </c>
    </row>
    <row r="60" spans="1:4" ht="40.5" x14ac:dyDescent="0.25">
      <c r="A60" s="96" t="s">
        <v>33</v>
      </c>
      <c r="B60" s="4">
        <v>1</v>
      </c>
      <c r="C60" s="88" t="s">
        <v>49</v>
      </c>
      <c r="D60" s="9"/>
    </row>
    <row r="61" spans="1:4" ht="54" x14ac:dyDescent="0.25">
      <c r="A61" s="1" t="s">
        <v>27</v>
      </c>
      <c r="B61" s="2">
        <v>10</v>
      </c>
      <c r="C61" s="89" t="s">
        <v>50</v>
      </c>
      <c r="D61" s="104" t="s">
        <v>27</v>
      </c>
    </row>
    <row r="62" spans="1:4" ht="27" x14ac:dyDescent="0.25">
      <c r="A62" s="90" t="s">
        <v>34</v>
      </c>
      <c r="B62" s="2">
        <v>1</v>
      </c>
      <c r="C62" s="89" t="s">
        <v>51</v>
      </c>
      <c r="D62" s="103" t="s">
        <v>37</v>
      </c>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4.25" thickBot="1" x14ac:dyDescent="0.3">
      <c r="A74" s="3"/>
      <c r="B74" s="3"/>
      <c r="C74" s="11"/>
      <c r="D74" s="11"/>
    </row>
    <row r="75" spans="1:4" ht="14.25" thickBot="1" x14ac:dyDescent="0.3">
      <c r="A75" s="47" t="s">
        <v>22</v>
      </c>
      <c r="B75" s="47">
        <f>SUM(B60:B74)</f>
        <v>12</v>
      </c>
      <c r="C75" s="86" t="s">
        <v>29</v>
      </c>
      <c r="D75" s="48"/>
    </row>
    <row r="76" spans="1:4" ht="15" thickBot="1" x14ac:dyDescent="0.35">
      <c r="A76" s="49"/>
      <c r="B76" s="49"/>
      <c r="C76" s="49"/>
      <c r="D76" s="49"/>
    </row>
    <row r="77" spans="1:4" ht="18.75" thickBot="1" x14ac:dyDescent="0.3">
      <c r="A77" s="42" t="s">
        <v>17</v>
      </c>
      <c r="B77" s="43">
        <v>5</v>
      </c>
      <c r="C77" s="44" t="s">
        <v>23</v>
      </c>
      <c r="D77" s="53">
        <f>$D$58+7</f>
        <v>45925</v>
      </c>
    </row>
    <row r="78" spans="1:4" ht="27.75" thickBot="1" x14ac:dyDescent="0.3">
      <c r="A78" s="45" t="s">
        <v>18</v>
      </c>
      <c r="B78" s="46" t="s">
        <v>19</v>
      </c>
      <c r="C78" s="45" t="s">
        <v>20</v>
      </c>
      <c r="D78" s="45" t="s">
        <v>21</v>
      </c>
    </row>
    <row r="79" spans="1:4" ht="27" x14ac:dyDescent="0.25">
      <c r="A79" s="5" t="s">
        <v>27</v>
      </c>
      <c r="B79" s="4">
        <v>5</v>
      </c>
      <c r="C79" s="88" t="s">
        <v>45</v>
      </c>
      <c r="D79" s="102" t="s">
        <v>27</v>
      </c>
    </row>
    <row r="80" spans="1:4" ht="27" x14ac:dyDescent="0.25">
      <c r="A80" s="1" t="s">
        <v>27</v>
      </c>
      <c r="B80" s="2">
        <v>1</v>
      </c>
      <c r="C80" s="89" t="s">
        <v>46</v>
      </c>
      <c r="D80" s="103" t="s">
        <v>27</v>
      </c>
    </row>
    <row r="81" spans="1:4" ht="40.5" x14ac:dyDescent="0.25">
      <c r="A81" s="1" t="s">
        <v>35</v>
      </c>
      <c r="B81" s="2">
        <v>5</v>
      </c>
      <c r="C81" s="89" t="s">
        <v>47</v>
      </c>
      <c r="D81" s="104" t="s">
        <v>27</v>
      </c>
    </row>
    <row r="82" spans="1:4" ht="27" x14ac:dyDescent="0.25">
      <c r="A82" s="90" t="s">
        <v>34</v>
      </c>
      <c r="B82" s="2">
        <v>1</v>
      </c>
      <c r="C82" s="89" t="s">
        <v>48</v>
      </c>
      <c r="D82" s="103" t="s">
        <v>37</v>
      </c>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4.25" thickBot="1" x14ac:dyDescent="0.3">
      <c r="A93" s="3"/>
      <c r="B93" s="3"/>
      <c r="C93" s="11"/>
      <c r="D93" s="11"/>
    </row>
    <row r="94" spans="1:4" ht="14.25" thickBot="1" x14ac:dyDescent="0.3">
      <c r="A94" s="47" t="s">
        <v>22</v>
      </c>
      <c r="B94" s="47">
        <f>SUM(B79:B93)</f>
        <v>12</v>
      </c>
      <c r="C94" s="86" t="s">
        <v>29</v>
      </c>
      <c r="D94" s="48"/>
    </row>
    <row r="95" spans="1:4" ht="15" thickBot="1" x14ac:dyDescent="0.35">
      <c r="A95" s="49"/>
      <c r="B95" s="49"/>
      <c r="C95" s="49"/>
      <c r="D95" s="49"/>
    </row>
    <row r="96" spans="1:4" ht="18.75" thickBot="1" x14ac:dyDescent="0.3">
      <c r="A96" s="42" t="s">
        <v>17</v>
      </c>
      <c r="B96" s="43">
        <v>6</v>
      </c>
      <c r="C96" s="44" t="s">
        <v>23</v>
      </c>
      <c r="D96" s="53">
        <f>$D$77+7</f>
        <v>45932</v>
      </c>
    </row>
    <row r="97" spans="1:4" ht="27.75" thickBot="1" x14ac:dyDescent="0.3">
      <c r="A97" s="45" t="s">
        <v>18</v>
      </c>
      <c r="B97" s="46" t="s">
        <v>19</v>
      </c>
      <c r="C97" s="45" t="s">
        <v>20</v>
      </c>
      <c r="D97" s="45" t="s">
        <v>21</v>
      </c>
    </row>
    <row r="98" spans="1:4" ht="27" x14ac:dyDescent="0.25">
      <c r="A98" s="5" t="s">
        <v>27</v>
      </c>
      <c r="B98" s="4">
        <v>5</v>
      </c>
      <c r="C98" s="88" t="s">
        <v>43</v>
      </c>
      <c r="D98" s="102" t="s">
        <v>27</v>
      </c>
    </row>
    <row r="99" spans="1:4" ht="40.5" x14ac:dyDescent="0.25">
      <c r="A99" s="90" t="s">
        <v>35</v>
      </c>
      <c r="B99" s="2">
        <v>6</v>
      </c>
      <c r="C99" s="89" t="s">
        <v>44</v>
      </c>
      <c r="D99" s="104" t="s">
        <v>27</v>
      </c>
    </row>
    <row r="100" spans="1:4" ht="27" x14ac:dyDescent="0.25">
      <c r="A100" s="90" t="s">
        <v>34</v>
      </c>
      <c r="B100" s="2">
        <v>1</v>
      </c>
      <c r="C100" s="89" t="s">
        <v>42</v>
      </c>
      <c r="D100" s="103" t="s">
        <v>37</v>
      </c>
    </row>
    <row r="101" spans="1:4" x14ac:dyDescent="0.25">
      <c r="A101" s="90"/>
      <c r="B101" s="2"/>
      <c r="C101" s="89"/>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4.25" thickBot="1" x14ac:dyDescent="0.3">
      <c r="A112" s="3"/>
      <c r="B112" s="3"/>
      <c r="C112" s="11"/>
      <c r="D112" s="11"/>
    </row>
    <row r="113" spans="1:4" ht="14.25" thickBot="1" x14ac:dyDescent="0.3">
      <c r="A113" s="47" t="s">
        <v>22</v>
      </c>
      <c r="B113" s="47">
        <f>SUM(B98:B112)</f>
        <v>12</v>
      </c>
      <c r="C113" s="86" t="s">
        <v>29</v>
      </c>
      <c r="D113" s="48"/>
    </row>
    <row r="114" spans="1:4" ht="15" thickBot="1" x14ac:dyDescent="0.35">
      <c r="A114" s="49"/>
      <c r="B114" s="49"/>
      <c r="C114" s="49"/>
      <c r="D114" s="49"/>
    </row>
    <row r="115" spans="1:4" ht="18.75" thickBot="1" x14ac:dyDescent="0.3">
      <c r="A115" s="42" t="s">
        <v>17</v>
      </c>
      <c r="B115" s="43">
        <v>7</v>
      </c>
      <c r="C115" s="44" t="s">
        <v>23</v>
      </c>
      <c r="D115" s="53">
        <f>$D$96+7</f>
        <v>45939</v>
      </c>
    </row>
    <row r="116" spans="1:4" ht="27.75" thickBot="1" x14ac:dyDescent="0.3">
      <c r="A116" s="45" t="s">
        <v>18</v>
      </c>
      <c r="B116" s="46" t="s">
        <v>19</v>
      </c>
      <c r="C116" s="45" t="s">
        <v>20</v>
      </c>
      <c r="D116" s="45" t="s">
        <v>21</v>
      </c>
    </row>
    <row r="117" spans="1:4" ht="67.5" x14ac:dyDescent="0.25">
      <c r="A117" s="5" t="s">
        <v>35</v>
      </c>
      <c r="B117" s="4">
        <v>9</v>
      </c>
      <c r="C117" s="88" t="s">
        <v>36</v>
      </c>
      <c r="D117" s="102" t="s">
        <v>27</v>
      </c>
    </row>
    <row r="118" spans="1:4" ht="54" x14ac:dyDescent="0.25">
      <c r="A118" s="90" t="s">
        <v>38</v>
      </c>
      <c r="B118" s="2">
        <v>1</v>
      </c>
      <c r="C118" s="89" t="s">
        <v>41</v>
      </c>
      <c r="D118" s="103" t="s">
        <v>66</v>
      </c>
    </row>
    <row r="119" spans="1:4" ht="40.5" x14ac:dyDescent="0.25">
      <c r="A119" s="90" t="s">
        <v>34</v>
      </c>
      <c r="B119" s="2">
        <v>2</v>
      </c>
      <c r="C119" s="89" t="s">
        <v>40</v>
      </c>
      <c r="D119" s="103" t="s">
        <v>37</v>
      </c>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4.25" thickBot="1" x14ac:dyDescent="0.3">
      <c r="A131" s="3"/>
      <c r="B131" s="3"/>
      <c r="C131" s="11"/>
      <c r="D131" s="11"/>
    </row>
    <row r="132" spans="1:4" ht="14.25" thickBot="1" x14ac:dyDescent="0.3">
      <c r="A132" s="47" t="s">
        <v>22</v>
      </c>
      <c r="B132" s="47">
        <f>SUM(B117:B131)</f>
        <v>12</v>
      </c>
      <c r="C132" s="86" t="s">
        <v>29</v>
      </c>
      <c r="D132" s="48"/>
    </row>
    <row r="133" spans="1:4" ht="15" thickBot="1" x14ac:dyDescent="0.35">
      <c r="A133" s="49"/>
      <c r="B133" s="49"/>
      <c r="C133" s="49"/>
      <c r="D133" s="49"/>
    </row>
    <row r="134" spans="1:4" ht="18.75" thickBot="1" x14ac:dyDescent="0.3">
      <c r="A134" s="42" t="s">
        <v>17</v>
      </c>
      <c r="B134" s="43">
        <v>8</v>
      </c>
      <c r="C134" s="44" t="s">
        <v>23</v>
      </c>
      <c r="D134" s="53">
        <f>$D$115+7</f>
        <v>45946</v>
      </c>
    </row>
    <row r="135" spans="1:4" ht="27.75" thickBot="1" x14ac:dyDescent="0.3">
      <c r="A135" s="45" t="s">
        <v>18</v>
      </c>
      <c r="B135" s="46" t="s">
        <v>19</v>
      </c>
      <c r="C135" s="45" t="s">
        <v>20</v>
      </c>
      <c r="D135" s="45" t="s">
        <v>21</v>
      </c>
    </row>
    <row r="136" spans="1:4" x14ac:dyDescent="0.25">
      <c r="A136" s="5" t="s">
        <v>35</v>
      </c>
      <c r="B136" s="4">
        <v>11</v>
      </c>
      <c r="C136" s="88" t="s">
        <v>69</v>
      </c>
      <c r="D136" s="112" t="s">
        <v>70</v>
      </c>
    </row>
    <row r="137" spans="1:4" x14ac:dyDescent="0.25">
      <c r="A137" s="1" t="s">
        <v>37</v>
      </c>
      <c r="B137" s="2">
        <v>1</v>
      </c>
      <c r="C137" s="89" t="s">
        <v>71</v>
      </c>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4.25" thickBot="1" x14ac:dyDescent="0.3">
      <c r="A150" s="3"/>
      <c r="B150" s="3"/>
      <c r="C150" s="11"/>
      <c r="D150" s="11"/>
    </row>
    <row r="151" spans="1:4" ht="14.25" thickBot="1" x14ac:dyDescent="0.3">
      <c r="A151" s="47" t="s">
        <v>22</v>
      </c>
      <c r="B151" s="47">
        <f>SUM(B136:B150)</f>
        <v>12</v>
      </c>
      <c r="C151" s="86" t="s">
        <v>29</v>
      </c>
      <c r="D151" s="48"/>
    </row>
    <row r="152" spans="1:4" ht="14.25" x14ac:dyDescent="0.3">
      <c r="A152" s="49"/>
      <c r="B152" s="49"/>
      <c r="C152" s="49"/>
      <c r="D152" s="49"/>
    </row>
    <row r="153" spans="1:4" x14ac:dyDescent="0.25">
      <c r="A153" s="87" t="s">
        <v>30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8DCBB48D-64B2-465B-8D57-125FF239324C}">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28280478-4FC3-411A-91F8-85E7BD3E411C}">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61AB7F18-67B7-4AB2-96EC-E27253A5CD4D}">
      <formula1>0</formula1>
      <formula2>NbPerWeek * NbQuartPer</formula2>
    </dataValidation>
    <dataValidation type="list" allowBlank="1" showInputMessage="1" showErrorMessage="1" sqref="A3:A17 A60:A74 A79:A93 A98:A112 A117:A131 A136:A150 A22:A36 A47:A55" xr:uid="{85E9EB23-BEBB-4159-9EED-CCFEB4B10E68}">
      <formula1>lstTasks</formula1>
    </dataValidation>
  </dataValidations>
  <hyperlinks>
    <hyperlink ref="D22" r:id="rId1" xr:uid="{67EE990D-79F6-41C0-9B01-40D8699F065D}"/>
    <hyperlink ref="D23" r:id="rId2" xr:uid="{2EC761A3-4804-43E4-BC1C-73CB10AB7EBB}"/>
    <hyperlink ref="D25" r:id="rId3" xr:uid="{8E653C68-946C-49E4-B8D9-E33F67D35E02}"/>
    <hyperlink ref="D26" r:id="rId4" xr:uid="{175AB593-2010-44E3-8EAC-023D774404E6}"/>
    <hyperlink ref="D41" r:id="rId5" xr:uid="{9E50B753-0FB0-4115-A79A-91767C3D92B6}"/>
    <hyperlink ref="D42" r:id="rId6" xr:uid="{774246EB-2A5E-46E7-8979-35314706ABB8}"/>
    <hyperlink ref="D44" r:id="rId7" xr:uid="{1640808C-2A02-45BB-B35A-20CC7FDDC14E}"/>
    <hyperlink ref="D45" r:id="rId8" xr:uid="{BEA4B9E5-8190-4E29-A849-5AE7974167AD}"/>
    <hyperlink ref="D61" r:id="rId9" xr:uid="{32BB7245-ED2A-4837-B0A7-D51780BD09B4}"/>
    <hyperlink ref="D79" r:id="rId10" xr:uid="{3BBC887E-3254-4CAD-92F6-E94274F6912A}"/>
    <hyperlink ref="D80" r:id="rId11" xr:uid="{57516892-BA53-444A-BC02-503641FDFC3F}"/>
    <hyperlink ref="D81" r:id="rId12" xr:uid="{F5068370-834D-4E1C-81FD-B8ECF850C461}"/>
    <hyperlink ref="D98" r:id="rId13" xr:uid="{26979B24-C69B-4FC2-93D5-A7ABAE09FD9D}"/>
    <hyperlink ref="D99" r:id="rId14" xr:uid="{ACFC92AA-CFB6-4837-B218-35F9C61031D0}"/>
    <hyperlink ref="D117" r:id="rId15" xr:uid="{7E11059B-61F7-4775-B52F-DF027D6A1AE4}"/>
    <hyperlink ref="D119" r:id="rId16" xr:uid="{5C4670A1-61D7-4863-AA95-24342B0D062E}"/>
    <hyperlink ref="D100" r:id="rId17" xr:uid="{5A755686-0649-46D4-991D-1F2CE4D56674}"/>
    <hyperlink ref="D82" r:id="rId18" xr:uid="{17F559D4-AF26-42A7-812A-3BA76180BD01}"/>
    <hyperlink ref="D62" r:id="rId19" xr:uid="{44534150-E5FD-4CAD-8D49-E812F7DE974D}"/>
    <hyperlink ref="D46" r:id="rId20" xr:uid="{0DAC6A44-94A9-40B8-B976-FAEBAF03D1D0}"/>
    <hyperlink ref="D28" r:id="rId21" xr:uid="{ED097713-8B32-43C4-866C-AC7BE01A5F5C}"/>
    <hyperlink ref="D118" r:id="rId22" xr:uid="{729D868D-CAC3-468E-B383-AA41E8D50C38}"/>
    <hyperlink ref="D43" r:id="rId23" xr:uid="{3644DDBD-E04E-495B-A3F2-4BE75A2A0AB8}"/>
    <hyperlink ref="E43" r:id="rId24" xr:uid="{B8A5D3CD-E10B-4A98-B417-97E22D2F46F6}"/>
    <hyperlink ref="D136" r:id="rId25" xr:uid="{3841C5BE-0A87-4EA2-BDE9-25E42168C890}"/>
  </hyperlinks>
  <pageMargins left="0.7" right="0.7" top="0.75" bottom="0.75" header="0.3" footer="0.3"/>
  <pageSetup paperSize="9" orientation="portrait" r:id="rId26"/>
  <drawing r:id="rId27"/>
  <legacyDrawing r:id="rId28"/>
  <controls>
    <mc:AlternateContent xmlns:mc="http://schemas.openxmlformats.org/markup-compatibility/2006">
      <mc:Choice Requires="x14">
        <control shapeId="39937" r:id="rId29" name="btnImportRealisation">
          <controlPr defaultSize="0" autoLine="0" r:id="rId30">
            <anchor moveWithCells="1">
              <from>
                <xdr:col>4</xdr:col>
                <xdr:colOff>590550</xdr:colOff>
                <xdr:row>0</xdr:row>
                <xdr:rowOff>180975</xdr:rowOff>
              </from>
              <to>
                <xdr:col>6</xdr:col>
                <xdr:colOff>361950</xdr:colOff>
                <xdr:row>2</xdr:row>
                <xdr:rowOff>152400</xdr:rowOff>
              </to>
            </anchor>
          </controlPr>
        </control>
      </mc:Choice>
      <mc:Fallback>
        <control shapeId="39937" r:id="rId29"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B1120F001D1794FAA6F4057E3355991" ma:contentTypeVersion="10" ma:contentTypeDescription="Crée un document." ma:contentTypeScope="" ma:versionID="ac22c85615ceb52d1370fb9df84e6dd1">
  <xsd:schema xmlns:xsd="http://www.w3.org/2001/XMLSchema" xmlns:xs="http://www.w3.org/2001/XMLSchema" xmlns:p="http://schemas.microsoft.com/office/2006/metadata/properties" xmlns:ns2="f20a0681-8b2f-4a46-9dab-cf1520193f81" xmlns:ns3="932fafb7-d8e0-4a14-bee3-33aad5c71309" targetNamespace="http://schemas.microsoft.com/office/2006/metadata/properties" ma:root="true" ma:fieldsID="acf018b657974e659a65ee12abb394a0" ns2:_="" ns3:_="">
    <xsd:import namespace="f20a0681-8b2f-4a46-9dab-cf1520193f81"/>
    <xsd:import namespace="932fafb7-d8e0-4a14-bee3-33aad5c7130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0a0681-8b2f-4a46-9dab-cf1520193f8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32fafb7-d8e0-4a14-bee3-33aad5c71309"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419be88a-71af-43ab-87af-3b9bdb42f133}" ma:internalName="TaxCatchAll" ma:showField="CatchAllData" ma:web="932fafb7-d8e0-4a14-bee3-33aad5c7130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f20a0681-8b2f-4a46-9dab-cf1520193f81">
      <Terms xmlns="http://schemas.microsoft.com/office/infopath/2007/PartnerControls"/>
    </lcf76f155ced4ddcb4097134ff3c332f>
    <TaxCatchAll xmlns="932fafb7-d8e0-4a14-bee3-33aad5c71309" xsi:nil="true"/>
  </documentManagement>
</p:properties>
</file>

<file path=customXml/itemProps1.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2.xml><?xml version="1.0" encoding="utf-8"?>
<ds:datastoreItem xmlns:ds="http://schemas.openxmlformats.org/officeDocument/2006/customXml" ds:itemID="{532DA608-5276-4134-9783-54B1849470A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20a0681-8b2f-4a46-9dab-cf1520193f81"/>
    <ds:schemaRef ds:uri="932fafb7-d8e0-4a14-bee3-33aad5c7130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f20a0681-8b2f-4a46-9dab-cf1520193f81"/>
    <ds:schemaRef ds:uri="932fafb7-d8e0-4a14-bee3-33aad5c7130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Brendan Fleurdelys</dc:creator>
  <cp:keywords/>
  <dc:description/>
  <cp:lastModifiedBy>Romain Augusto</cp:lastModifiedBy>
  <cp:revision/>
  <dcterms:created xsi:type="dcterms:W3CDTF">1996-10-21T11:03:58Z</dcterms:created>
  <dcterms:modified xsi:type="dcterms:W3CDTF">2025-10-30T15:17:33Z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0x0101005B1120F001D1794FAA6F4057E3355991</vt:lpwstr>
  </property>
  <property fmtid="{D5CDD505-2E9C-101B-9397-08002B2CF9AE}" pid="3" name="MediaServiceImageTags">
    <vt:lpwstr/>
  </property>
</Properties>
</file>